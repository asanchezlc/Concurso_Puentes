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elo\Downloads\"/>
    </mc:Choice>
  </mc:AlternateContent>
  <xr:revisionPtr revIDLastSave="0" documentId="13_ncr:1_{59D4447F-4E1C-4288-8D3B-5E7D5BF710C0}" xr6:coauthVersionLast="47" xr6:coauthVersionMax="47" xr10:uidLastSave="{00000000-0000-0000-0000-000000000000}"/>
  <bookViews>
    <workbookView xWindow="-108" yWindow="-108" windowWidth="23256" windowHeight="12456" xr2:uid="{876D89EA-D17D-4175-B7CA-930B8FD47820}"/>
  </bookViews>
  <sheets>
    <sheet name="Hoja1" sheetId="1" r:id="rId1"/>
    <sheet name="Aux" sheetId="2" r:id="rId2"/>
  </sheets>
  <definedNames>
    <definedName name="_Toc168593517" localSheetId="0">Hoja1!$A$2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K8" i="1" s="1"/>
  <c r="E60" i="1"/>
  <c r="E61" i="1"/>
  <c r="E62" i="1"/>
  <c r="E63" i="1"/>
  <c r="E64" i="1"/>
  <c r="E65" i="1"/>
  <c r="E59" i="1"/>
  <c r="F60" i="1"/>
  <c r="F61" i="1"/>
  <c r="F62" i="1"/>
  <c r="F63" i="1"/>
  <c r="F64" i="1"/>
  <c r="F65" i="1"/>
  <c r="F59" i="1"/>
  <c r="C60" i="1"/>
  <c r="C61" i="1"/>
  <c r="C62" i="1"/>
  <c r="C63" i="1"/>
  <c r="C64" i="1"/>
  <c r="C65" i="1"/>
  <c r="C59" i="1"/>
  <c r="E50" i="1"/>
  <c r="E51" i="1"/>
  <c r="E52" i="1"/>
  <c r="E53" i="1"/>
  <c r="E54" i="1"/>
  <c r="E55" i="1"/>
  <c r="E49" i="1"/>
  <c r="C50" i="1"/>
  <c r="C51" i="1"/>
  <c r="C52" i="1"/>
  <c r="C53" i="1"/>
  <c r="C54" i="1"/>
  <c r="C55" i="1"/>
  <c r="C49" i="1"/>
  <c r="G2" i="1"/>
  <c r="H6" i="1" s="1"/>
  <c r="N9" i="1"/>
  <c r="N8" i="1"/>
  <c r="N7" i="1"/>
  <c r="N6" i="1"/>
  <c r="N5" i="1"/>
  <c r="D10" i="1"/>
  <c r="K6" i="1" l="1"/>
  <c r="K7" i="1"/>
  <c r="K9" i="1"/>
  <c r="K5" i="1"/>
  <c r="K10" i="1" s="1"/>
  <c r="H7" i="1"/>
  <c r="H8" i="1"/>
  <c r="H5" i="1"/>
  <c r="H9" i="1"/>
  <c r="N10" i="1"/>
  <c r="H10" i="1" l="1"/>
</calcChain>
</file>

<file path=xl/sharedStrings.xml><?xml version="1.0" encoding="utf-8"?>
<sst xmlns="http://schemas.openxmlformats.org/spreadsheetml/2006/main" count="110" uniqueCount="43">
  <si>
    <r>
      <t>1.</t>
    </r>
    <r>
      <rPr>
        <b/>
        <sz val="7"/>
        <color rgb="FF156082"/>
        <rFont val="Times New Roman"/>
        <family val="1"/>
      </rPr>
      <t xml:space="preserve">     </t>
    </r>
    <r>
      <rPr>
        <b/>
        <sz val="14"/>
        <color rgb="FF156082"/>
        <rFont val="Aptos"/>
        <family val="2"/>
      </rPr>
      <t xml:space="preserve">Criterios de valoración y puntuaciones. </t>
    </r>
  </si>
  <si>
    <t>Criterio</t>
  </si>
  <si>
    <t>Peso [%]</t>
  </si>
  <si>
    <t>Evaluación</t>
  </si>
  <si>
    <t>Diseño conceptual</t>
  </si>
  <si>
    <t>Jurado</t>
  </si>
  <si>
    <t>Exposición de la solución</t>
  </si>
  <si>
    <t>Peso de la estructura</t>
  </si>
  <si>
    <t>Báscula</t>
  </si>
  <si>
    <t>Capacidad de carga</t>
  </si>
  <si>
    <t>Ensayo de carga</t>
  </si>
  <si>
    <t>Deformación</t>
  </si>
  <si>
    <t>Total</t>
  </si>
  <si>
    <t>Diseño conceptual (30 puntos)</t>
  </si>
  <si>
    <r>
      <t xml:space="preserve">  </t>
    </r>
    <r>
      <rPr>
        <b/>
        <sz val="11"/>
        <color theme="1"/>
        <rFont val="Aptos"/>
        <family val="2"/>
      </rPr>
      <t>Posición</t>
    </r>
  </si>
  <si>
    <t>Puntos</t>
  </si>
  <si>
    <t>1º</t>
  </si>
  <si>
    <t>2º</t>
  </si>
  <si>
    <t>3º</t>
  </si>
  <si>
    <t>4º</t>
  </si>
  <si>
    <t>5º</t>
  </si>
  <si>
    <t>Exposición de la solución (20 puntos)</t>
  </si>
  <si>
    <r>
      <t>P</t>
    </r>
    <r>
      <rPr>
        <b/>
        <i/>
        <vertAlign val="subscript"/>
        <sz val="11"/>
        <color theme="1"/>
        <rFont val="Aptos"/>
        <family val="2"/>
      </rPr>
      <t>u</t>
    </r>
    <r>
      <rPr>
        <b/>
        <sz val="11"/>
        <color theme="1"/>
        <rFont val="Aptos"/>
        <family val="2"/>
      </rPr>
      <t xml:space="preserve"> [kg] &gt;</t>
    </r>
  </si>
  <si>
    <t>Peso de la estructura (20 puntos)</t>
  </si>
  <si>
    <t xml:space="preserve">Su peso se redondeará a la medida más cercana en múltiplos de 100 g. Se dará la puntuación máxima de 20 puntos a la que menos pese, y 0 puntos a la que más. </t>
  </si>
  <si>
    <r>
      <t xml:space="preserve"> </t>
    </r>
    <r>
      <rPr>
        <i/>
        <sz val="11"/>
        <color theme="1"/>
        <rFont val="Symbol"/>
        <family val="1"/>
        <charset val="2"/>
      </rPr>
      <t>d</t>
    </r>
    <r>
      <rPr>
        <i/>
        <vertAlign val="subscript"/>
        <sz val="11"/>
        <color theme="1"/>
        <rFont val="Aptos"/>
        <family val="2"/>
      </rPr>
      <t>500</t>
    </r>
    <r>
      <rPr>
        <b/>
        <sz val="11"/>
        <color theme="1"/>
        <rFont val="Aptos"/>
        <family val="2"/>
      </rPr>
      <t xml:space="preserve"> [mm] &lt;</t>
    </r>
  </si>
  <si>
    <t>Deformación/Rigidez (15 puntos)</t>
  </si>
  <si>
    <t>3 Lugar</t>
  </si>
  <si>
    <r>
      <t xml:space="preserve"> </t>
    </r>
    <r>
      <rPr>
        <i/>
        <sz val="11"/>
        <color theme="1"/>
        <rFont val="Symbol"/>
        <family val="1"/>
        <charset val="2"/>
      </rPr>
      <t>d</t>
    </r>
    <r>
      <rPr>
        <i/>
        <vertAlign val="subscript"/>
        <sz val="11"/>
        <color theme="1"/>
        <rFont val="Aptos"/>
        <family val="2"/>
      </rPr>
      <t>500</t>
    </r>
    <r>
      <rPr>
        <b/>
        <sz val="11"/>
        <color theme="1"/>
        <rFont val="Aptos"/>
        <family val="2"/>
      </rPr>
      <t xml:space="preserve"> [mm]</t>
    </r>
  </si>
  <si>
    <t>Equipo 1</t>
  </si>
  <si>
    <t>Equipo 2</t>
  </si>
  <si>
    <t>Equipo 3</t>
  </si>
  <si>
    <t>Equipo 4</t>
  </si>
  <si>
    <t>Equipo 5</t>
  </si>
  <si>
    <t>Equipo 6</t>
  </si>
  <si>
    <t>Equipo 7</t>
  </si>
  <si>
    <t>6º</t>
  </si>
  <si>
    <t>7º</t>
  </si>
  <si>
    <t>Equipo</t>
  </si>
  <si>
    <t>Capacidad de carga P (kg) (15 puntos)</t>
  </si>
  <si>
    <t>P (kg)</t>
  </si>
  <si>
    <t>Flecha (mm) (15 puntos)</t>
  </si>
  <si>
    <r>
      <t xml:space="preserve"> </t>
    </r>
    <r>
      <rPr>
        <i/>
        <sz val="11"/>
        <color theme="1"/>
        <rFont val="Symbol"/>
        <family val="1"/>
        <charset val="2"/>
      </rPr>
      <t>d</t>
    </r>
    <r>
      <rPr>
        <b/>
        <sz val="11"/>
        <color theme="1"/>
        <rFont val="Aptos"/>
        <family val="2"/>
      </rPr>
      <t xml:space="preserve"> [mm]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</si>
</sst>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0.0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b/>
      <sz val="14"/>
      <color rgb="FF156082"/>
      <name val="Aptos"/>
      <family val="2"/>
    </font>
    <font>
      <b/>
      <sz val="7"/>
      <color rgb="FF156082"/>
      <name val="Times New Roman"/>
      <family val="1"/>
    </font>
    <font>
      <b/>
      <sz val="12"/>
      <color rgb="FF156082"/>
      <name val="Aptos"/>
      <family val="2"/>
    </font>
    <font>
      <b/>
      <i/>
      <sz val="11"/>
      <color theme="1"/>
      <name val="Aptos"/>
      <family val="2"/>
    </font>
    <font>
      <b/>
      <i/>
      <vertAlign val="subscript"/>
      <sz val="11"/>
      <color theme="1"/>
      <name val="Aptos"/>
      <family val="2"/>
    </font>
    <font>
      <sz val="12"/>
      <color theme="1"/>
      <name val="Aptos"/>
      <family val="2"/>
    </font>
    <font>
      <i/>
      <sz val="11"/>
      <color theme="1"/>
      <name val="Symbol"/>
      <family val="1"/>
      <charset val="2"/>
    </font>
    <font>
      <i/>
      <vertAlign val="subscript"/>
      <sz val="11"/>
      <color theme="1"/>
      <name val="Aptos"/>
      <family val="2"/>
    </font>
    <font>
      <u/>
      <sz val="11"/>
      <color theme="1"/>
      <name val="Aptos Narrow"/>
      <family val="2"/>
      <scheme val="minor"/>
    </font>
    <font>
      <u/>
      <sz val="11"/>
      <color theme="1"/>
      <name val="Aptos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6" xfId="0" applyFont="1" applyBorder="1" applyAlignment="1">
      <alignment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justify" vertical="center" wrapText="1"/>
    </xf>
    <xf numFmtId="0" fontId="6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8" fillId="0" borderId="0" xfId="0" applyFont="1" applyAlignment="1">
      <alignment horizontal="center" wrapText="1"/>
    </xf>
    <xf numFmtId="0" fontId="0" fillId="0" borderId="8" xfId="0" applyBorder="1"/>
    <xf numFmtId="0" fontId="3" fillId="0" borderId="0" xfId="0" applyFont="1" applyAlignment="1">
      <alignment vertical="center"/>
    </xf>
    <xf numFmtId="0" fontId="0" fillId="0" borderId="0" xfId="0" applyBorder="1"/>
    <xf numFmtId="0" fontId="1" fillId="0" borderId="1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1" fillId="0" borderId="0" xfId="0" applyFont="1"/>
    <xf numFmtId="171" fontId="1" fillId="2" borderId="1" xfId="0" applyNumberFormat="1" applyFont="1" applyFill="1" applyBorder="1" applyAlignment="1">
      <alignment horizontal="center" vertical="center" wrapText="1"/>
    </xf>
    <xf numFmtId="171" fontId="12" fillId="0" borderId="1" xfId="0" applyNumberFormat="1" applyFont="1" applyBorder="1" applyAlignment="1">
      <alignment horizontal="center" vertical="center" wrapText="1"/>
    </xf>
    <xf numFmtId="0" fontId="11" fillId="0" borderId="8" xfId="0" applyFont="1" applyBorder="1"/>
    <xf numFmtId="0" fontId="1" fillId="0" borderId="0" xfId="0" applyFont="1" applyBorder="1" applyAlignment="1">
      <alignment horizontal="justify" vertical="center" wrapText="1"/>
    </xf>
    <xf numFmtId="0" fontId="1" fillId="0" borderId="0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B616-02D2-40CE-BB4C-3DC7EDD0FC0E}">
  <dimension ref="A1:O72"/>
  <sheetViews>
    <sheetView tabSelected="1" zoomScale="75" zoomScaleNormal="60" workbookViewId="0">
      <selection activeCell="A6" sqref="A6"/>
    </sheetView>
  </sheetViews>
  <sheetFormatPr baseColWidth="10" defaultRowHeight="14.4" x14ac:dyDescent="0.3"/>
  <cols>
    <col min="3" max="3" width="18.44140625" customWidth="1"/>
    <col min="7" max="7" width="13.77734375" style="19" customWidth="1"/>
    <col min="8" max="8" width="13.5546875" customWidth="1"/>
    <col min="10" max="10" width="11.77734375" bestFit="1" customWidth="1"/>
    <col min="11" max="11" width="16.109375" bestFit="1" customWidth="1"/>
    <col min="13" max="13" width="16.5546875" customWidth="1"/>
  </cols>
  <sheetData>
    <row r="1" spans="1:14" x14ac:dyDescent="0.3">
      <c r="G1" s="21"/>
      <c r="H1" s="21"/>
    </row>
    <row r="2" spans="1:14" ht="18" x14ac:dyDescent="0.3">
      <c r="A2" s="1" t="s">
        <v>0</v>
      </c>
      <c r="B2" s="1"/>
      <c r="C2" s="1"/>
      <c r="D2" s="1"/>
      <c r="E2" s="1"/>
      <c r="F2" s="20"/>
      <c r="G2" s="23" t="str">
        <f>Aux!B2</f>
        <v>Equipo 1</v>
      </c>
      <c r="H2" s="23"/>
      <c r="J2" s="23" t="str">
        <f>Aux!B3</f>
        <v>Equipo 2</v>
      </c>
      <c r="K2" s="23"/>
      <c r="M2" s="23" t="s">
        <v>27</v>
      </c>
      <c r="N2" s="23"/>
    </row>
    <row r="3" spans="1:14" ht="15" customHeight="1" thickBot="1" x14ac:dyDescent="0.35">
      <c r="G3" s="24"/>
      <c r="H3" s="24"/>
      <c r="J3" s="24"/>
      <c r="K3" s="24"/>
      <c r="M3" s="24"/>
      <c r="N3" s="24"/>
    </row>
    <row r="4" spans="1:14" ht="13.2" customHeight="1" thickBot="1" x14ac:dyDescent="0.35">
      <c r="C4" s="2" t="s">
        <v>1</v>
      </c>
      <c r="D4" s="3" t="s">
        <v>2</v>
      </c>
      <c r="E4" s="3" t="s">
        <v>3</v>
      </c>
      <c r="G4" s="2" t="s">
        <v>1</v>
      </c>
      <c r="H4" s="3" t="s">
        <v>15</v>
      </c>
      <c r="J4" s="2" t="s">
        <v>1</v>
      </c>
      <c r="K4" s="3" t="s">
        <v>15</v>
      </c>
      <c r="M4" s="2" t="s">
        <v>1</v>
      </c>
      <c r="N4" s="3" t="s">
        <v>2</v>
      </c>
    </row>
    <row r="5" spans="1:14" ht="28.8" x14ac:dyDescent="0.3">
      <c r="C5" s="4" t="s">
        <v>4</v>
      </c>
      <c r="D5" s="5">
        <v>30</v>
      </c>
      <c r="E5" s="9" t="s">
        <v>5</v>
      </c>
      <c r="G5" s="4" t="s">
        <v>4</v>
      </c>
      <c r="H5" s="5">
        <f>_xlfn.XLOOKUP(G2,E15:E21,D15:D21)</f>
        <v>30</v>
      </c>
      <c r="J5" s="4" t="s">
        <v>4</v>
      </c>
      <c r="K5" s="5" t="e">
        <f>_xlfn.XLOOKUP(J2,H15:H21,G15:G21)</f>
        <v>#N/A</v>
      </c>
      <c r="M5" s="4" t="s">
        <v>4</v>
      </c>
      <c r="N5" s="5">
        <f>D17</f>
        <v>22</v>
      </c>
    </row>
    <row r="6" spans="1:14" ht="43.8" thickBot="1" x14ac:dyDescent="0.35">
      <c r="C6" s="7" t="s">
        <v>6</v>
      </c>
      <c r="D6" s="8">
        <v>20</v>
      </c>
      <c r="E6" s="10"/>
      <c r="G6" s="7" t="s">
        <v>6</v>
      </c>
      <c r="H6" s="8">
        <f>_xlfn.XLOOKUP(G2,E25:E31,D25:D31)</f>
        <v>20</v>
      </c>
      <c r="J6" s="7" t="s">
        <v>6</v>
      </c>
      <c r="K6" s="8" t="e">
        <f>_xlfn.XLOOKUP(J2,H25:H31,G25:G31)</f>
        <v>#N/A</v>
      </c>
      <c r="M6" s="7" t="s">
        <v>6</v>
      </c>
      <c r="N6" s="8">
        <f>D27</f>
        <v>14</v>
      </c>
    </row>
    <row r="7" spans="1:14" ht="29.4" thickBot="1" x14ac:dyDescent="0.35">
      <c r="C7" s="7" t="s">
        <v>7</v>
      </c>
      <c r="D7" s="8">
        <v>20</v>
      </c>
      <c r="E7" s="8" t="s">
        <v>8</v>
      </c>
      <c r="G7" s="7" t="s">
        <v>7</v>
      </c>
      <c r="H7" s="8">
        <f>_xlfn.XLOOKUP(G2,E39:E45,D39:D45)</f>
        <v>20</v>
      </c>
      <c r="J7" s="7" t="s">
        <v>7</v>
      </c>
      <c r="K7" s="8" t="e">
        <f>_xlfn.XLOOKUP(J2,H39:H45,G39:G45)</f>
        <v>#N/A</v>
      </c>
      <c r="M7" s="7" t="s">
        <v>7</v>
      </c>
      <c r="N7" s="8">
        <f>D41</f>
        <v>14</v>
      </c>
    </row>
    <row r="8" spans="1:14" ht="28.8" x14ac:dyDescent="0.3">
      <c r="C8" s="4" t="s">
        <v>9</v>
      </c>
      <c r="D8" s="5">
        <v>15</v>
      </c>
      <c r="E8" s="9" t="s">
        <v>10</v>
      </c>
      <c r="G8" s="4" t="s">
        <v>9</v>
      </c>
      <c r="H8" s="5">
        <f>_xlfn.XLOOKUP(G2,C49:C55,E49:E55)</f>
        <v>1</v>
      </c>
      <c r="J8" s="4" t="s">
        <v>9</v>
      </c>
      <c r="K8" s="5" t="e">
        <f>_xlfn.XLOOKUP(J2,F49:F55,H49:H55)</f>
        <v>#N/A</v>
      </c>
      <c r="M8" s="4" t="s">
        <v>9</v>
      </c>
      <c r="N8" s="5">
        <f>I52</f>
        <v>10</v>
      </c>
    </row>
    <row r="9" spans="1:14" ht="29.4" thickBot="1" x14ac:dyDescent="0.35">
      <c r="C9" s="7" t="s">
        <v>11</v>
      </c>
      <c r="D9" s="8">
        <v>15</v>
      </c>
      <c r="E9" s="10"/>
      <c r="G9" s="7" t="s">
        <v>11</v>
      </c>
      <c r="H9" s="8">
        <f>_xlfn.XLOOKUP(G2,C59:C65,F59:F65)</f>
        <v>15</v>
      </c>
      <c r="J9" s="7" t="s">
        <v>11</v>
      </c>
      <c r="K9" s="8" t="e">
        <f>_xlfn.XLOOKUP(J2,F59:F65,I59:I65)</f>
        <v>#N/A</v>
      </c>
      <c r="M9" s="7" t="s">
        <v>11</v>
      </c>
      <c r="N9" s="8">
        <f>K52</f>
        <v>10</v>
      </c>
    </row>
    <row r="10" spans="1:14" ht="15" thickBot="1" x14ac:dyDescent="0.35">
      <c r="C10" s="7" t="s">
        <v>12</v>
      </c>
      <c r="D10" s="8">
        <f>SUM(D5:D9)</f>
        <v>100</v>
      </c>
      <c r="E10" s="6"/>
      <c r="G10" s="7" t="s">
        <v>12</v>
      </c>
      <c r="H10" s="8">
        <f>SUM(H5:H9)</f>
        <v>86</v>
      </c>
      <c r="J10" s="7" t="s">
        <v>12</v>
      </c>
      <c r="K10" s="8" t="e">
        <f>SUM(K5:K9)</f>
        <v>#N/A</v>
      </c>
      <c r="M10" s="7" t="s">
        <v>12</v>
      </c>
      <c r="N10" s="8">
        <f>SUM(N5:N9)</f>
        <v>70</v>
      </c>
    </row>
    <row r="11" spans="1:14" x14ac:dyDescent="0.3">
      <c r="G11" s="21"/>
      <c r="H11" s="21"/>
    </row>
    <row r="12" spans="1:14" ht="15.6" x14ac:dyDescent="0.3">
      <c r="C12" s="11" t="s">
        <v>13</v>
      </c>
      <c r="D12" s="11"/>
      <c r="E12" s="11"/>
      <c r="F12" s="11"/>
    </row>
    <row r="13" spans="1:14" ht="16.2" customHeight="1" thickBot="1" x14ac:dyDescent="0.35"/>
    <row r="14" spans="1:14" ht="16.2" customHeight="1" thickBot="1" x14ac:dyDescent="0.35">
      <c r="C14" s="12" t="s">
        <v>14</v>
      </c>
      <c r="D14" s="13" t="s">
        <v>15</v>
      </c>
      <c r="E14" s="13" t="s">
        <v>38</v>
      </c>
    </row>
    <row r="15" spans="1:14" ht="15" customHeight="1" thickBot="1" x14ac:dyDescent="0.35">
      <c r="C15" s="14" t="s">
        <v>16</v>
      </c>
      <c r="D15" s="8">
        <v>30</v>
      </c>
      <c r="E15" s="14" t="s">
        <v>29</v>
      </c>
    </row>
    <row r="16" spans="1:14" ht="15" thickBot="1" x14ac:dyDescent="0.35">
      <c r="C16" s="14" t="s">
        <v>17</v>
      </c>
      <c r="D16" s="8">
        <v>26</v>
      </c>
      <c r="E16" s="14" t="s">
        <v>33</v>
      </c>
    </row>
    <row r="17" spans="3:15" ht="15" thickBot="1" x14ac:dyDescent="0.35">
      <c r="C17" s="14" t="s">
        <v>18</v>
      </c>
      <c r="D17" s="8">
        <v>22</v>
      </c>
      <c r="E17" s="14" t="s">
        <v>33</v>
      </c>
    </row>
    <row r="18" spans="3:15" ht="15" thickBot="1" x14ac:dyDescent="0.35">
      <c r="C18" s="14" t="s">
        <v>19</v>
      </c>
      <c r="D18" s="8">
        <v>19</v>
      </c>
      <c r="E18" s="14" t="s">
        <v>29</v>
      </c>
    </row>
    <row r="19" spans="3:15" ht="15" thickBot="1" x14ac:dyDescent="0.35">
      <c r="C19" s="14" t="s">
        <v>20</v>
      </c>
      <c r="D19" s="8">
        <v>17</v>
      </c>
      <c r="E19" s="14" t="s">
        <v>31</v>
      </c>
    </row>
    <row r="20" spans="3:15" ht="15" thickBot="1" x14ac:dyDescent="0.35">
      <c r="C20" s="14" t="s">
        <v>36</v>
      </c>
      <c r="D20" s="8">
        <v>15</v>
      </c>
      <c r="E20" s="14" t="s">
        <v>31</v>
      </c>
    </row>
    <row r="21" spans="3:15" ht="15" thickBot="1" x14ac:dyDescent="0.35">
      <c r="C21" s="14" t="s">
        <v>37</v>
      </c>
      <c r="D21" s="8">
        <v>15</v>
      </c>
      <c r="E21" s="14" t="s">
        <v>31</v>
      </c>
    </row>
    <row r="23" spans="3:15" ht="16.2" thickBot="1" x14ac:dyDescent="0.35">
      <c r="C23" s="11" t="s">
        <v>21</v>
      </c>
      <c r="D23" s="11"/>
      <c r="E23" s="11"/>
      <c r="F23" s="11"/>
    </row>
    <row r="24" spans="3:15" ht="15" thickBot="1" x14ac:dyDescent="0.35">
      <c r="C24" s="15" t="s">
        <v>14</v>
      </c>
      <c r="D24" s="13" t="s">
        <v>15</v>
      </c>
    </row>
    <row r="25" spans="3:15" ht="15" thickBot="1" x14ac:dyDescent="0.35">
      <c r="C25" s="14" t="s">
        <v>16</v>
      </c>
      <c r="D25" s="8">
        <v>20</v>
      </c>
      <c r="E25" s="14" t="s">
        <v>29</v>
      </c>
    </row>
    <row r="26" spans="3:15" ht="16.2" thickBot="1" x14ac:dyDescent="0.35">
      <c r="C26" s="14" t="s">
        <v>17</v>
      </c>
      <c r="D26" s="8">
        <v>17</v>
      </c>
      <c r="E26" s="14" t="s">
        <v>33</v>
      </c>
      <c r="H26" s="11" t="s">
        <v>26</v>
      </c>
      <c r="I26" s="11"/>
      <c r="J26" s="11"/>
      <c r="K26" s="11"/>
      <c r="L26" s="11"/>
    </row>
    <row r="27" spans="3:15" ht="15" thickBot="1" x14ac:dyDescent="0.35">
      <c r="C27" s="14" t="s">
        <v>18</v>
      </c>
      <c r="D27" s="8">
        <v>14</v>
      </c>
      <c r="E27" s="14" t="s">
        <v>33</v>
      </c>
    </row>
    <row r="28" spans="3:15" ht="15" thickBot="1" x14ac:dyDescent="0.35">
      <c r="C28" s="14" t="s">
        <v>19</v>
      </c>
      <c r="D28" s="8">
        <v>12</v>
      </c>
      <c r="E28" s="14" t="s">
        <v>29</v>
      </c>
    </row>
    <row r="29" spans="3:15" ht="15" thickBot="1" x14ac:dyDescent="0.35">
      <c r="C29" s="14" t="s">
        <v>20</v>
      </c>
      <c r="D29" s="8">
        <v>11</v>
      </c>
      <c r="E29" s="14" t="s">
        <v>31</v>
      </c>
      <c r="K29" s="25"/>
      <c r="L29" s="25"/>
      <c r="M29" s="25"/>
      <c r="N29" s="25"/>
      <c r="O29" s="25"/>
    </row>
    <row r="30" spans="3:15" ht="15" thickBot="1" x14ac:dyDescent="0.35">
      <c r="C30" s="14" t="s">
        <v>36</v>
      </c>
      <c r="D30" s="8">
        <v>10</v>
      </c>
      <c r="E30" s="14" t="s">
        <v>31</v>
      </c>
      <c r="K30" s="25"/>
      <c r="L30" s="25"/>
      <c r="M30" s="25"/>
      <c r="N30" s="25"/>
      <c r="O30" s="25"/>
    </row>
    <row r="31" spans="3:15" ht="15" thickBot="1" x14ac:dyDescent="0.35">
      <c r="C31" s="14" t="s">
        <v>37</v>
      </c>
      <c r="D31" s="8">
        <v>10</v>
      </c>
      <c r="E31" s="14" t="s">
        <v>31</v>
      </c>
      <c r="K31" s="25"/>
      <c r="L31" s="25"/>
      <c r="M31" s="25"/>
      <c r="N31" s="25"/>
      <c r="O31" s="25"/>
    </row>
    <row r="32" spans="3:15" x14ac:dyDescent="0.3">
      <c r="C32" s="29"/>
      <c r="D32" s="30"/>
      <c r="E32" s="29"/>
      <c r="K32" s="25"/>
      <c r="L32" s="25"/>
      <c r="M32" s="25"/>
      <c r="N32" s="25"/>
      <c r="O32" s="25"/>
    </row>
    <row r="33" spans="3:15" x14ac:dyDescent="0.3">
      <c r="C33" s="29"/>
      <c r="D33" s="30"/>
      <c r="E33" s="29"/>
      <c r="K33" s="25"/>
      <c r="L33" s="25"/>
      <c r="M33" s="25"/>
      <c r="N33" s="25"/>
      <c r="O33" s="25"/>
    </row>
    <row r="34" spans="3:15" ht="15.6" x14ac:dyDescent="0.3">
      <c r="C34" s="11" t="s">
        <v>23</v>
      </c>
      <c r="D34" s="11"/>
      <c r="E34" s="11"/>
      <c r="F34" s="11"/>
      <c r="G34"/>
      <c r="K34" s="25"/>
      <c r="L34" s="25"/>
      <c r="M34" s="25"/>
      <c r="N34" s="25"/>
      <c r="O34" s="25"/>
    </row>
    <row r="35" spans="3:15" x14ac:dyDescent="0.3">
      <c r="C35" s="18" t="s">
        <v>24</v>
      </c>
      <c r="D35" s="18"/>
      <c r="E35" s="18"/>
      <c r="F35" s="18"/>
      <c r="G35" s="18"/>
      <c r="K35" s="25"/>
      <c r="L35" s="25"/>
      <c r="M35" s="25"/>
      <c r="N35" s="25"/>
      <c r="O35" s="25"/>
    </row>
    <row r="36" spans="3:15" x14ac:dyDescent="0.3">
      <c r="C36" s="18"/>
      <c r="D36" s="18"/>
      <c r="E36" s="18"/>
      <c r="F36" s="18"/>
      <c r="G36" s="18"/>
      <c r="K36" s="25"/>
      <c r="L36" s="25"/>
      <c r="M36" s="25"/>
      <c r="N36" s="25"/>
      <c r="O36" s="25"/>
    </row>
    <row r="37" spans="3:15" ht="15" thickBot="1" x14ac:dyDescent="0.35">
      <c r="C37" s="18"/>
      <c r="D37" s="18"/>
      <c r="E37" s="18"/>
      <c r="F37" s="18"/>
      <c r="G37" s="18"/>
      <c r="K37" s="25"/>
      <c r="L37" s="25"/>
      <c r="M37" s="25"/>
      <c r="N37" s="25"/>
      <c r="O37" s="25"/>
    </row>
    <row r="38" spans="3:15" ht="15" thickBot="1" x14ac:dyDescent="0.35">
      <c r="C38" s="15" t="s">
        <v>14</v>
      </c>
      <c r="D38" s="13" t="s">
        <v>15</v>
      </c>
      <c r="E38" s="13" t="s">
        <v>38</v>
      </c>
      <c r="K38" s="25"/>
      <c r="L38" s="25"/>
      <c r="M38" s="25"/>
      <c r="N38" s="25"/>
      <c r="O38" s="25"/>
    </row>
    <row r="39" spans="3:15" ht="15" thickBot="1" x14ac:dyDescent="0.35">
      <c r="C39" s="14" t="s">
        <v>16</v>
      </c>
      <c r="D39" s="8">
        <v>20</v>
      </c>
      <c r="E39" s="14" t="s">
        <v>29</v>
      </c>
      <c r="K39" s="25"/>
      <c r="L39" s="25"/>
      <c r="M39" s="25"/>
      <c r="N39" s="25"/>
      <c r="O39" s="25"/>
    </row>
    <row r="40" spans="3:15" ht="15" thickBot="1" x14ac:dyDescent="0.35">
      <c r="C40" s="14" t="s">
        <v>17</v>
      </c>
      <c r="D40" s="8">
        <v>17</v>
      </c>
      <c r="E40" s="14" t="s">
        <v>33</v>
      </c>
      <c r="K40" s="25"/>
      <c r="L40" s="25"/>
      <c r="M40" s="25"/>
      <c r="N40" s="25"/>
      <c r="O40" s="25"/>
    </row>
    <row r="41" spans="3:15" ht="15" thickBot="1" x14ac:dyDescent="0.35">
      <c r="C41" s="14" t="s">
        <v>18</v>
      </c>
      <c r="D41" s="8">
        <v>14</v>
      </c>
      <c r="E41" s="14" t="s">
        <v>33</v>
      </c>
      <c r="K41" s="25"/>
      <c r="L41" s="25"/>
      <c r="M41" s="25"/>
      <c r="N41" s="25"/>
      <c r="O41" s="25"/>
    </row>
    <row r="42" spans="3:15" ht="15" thickBot="1" x14ac:dyDescent="0.35">
      <c r="C42" s="14" t="s">
        <v>19</v>
      </c>
      <c r="D42" s="8">
        <v>12</v>
      </c>
      <c r="E42" s="14" t="s">
        <v>29</v>
      </c>
      <c r="K42" s="25"/>
      <c r="L42" s="25"/>
      <c r="M42" s="25"/>
      <c r="N42" s="25"/>
      <c r="O42" s="25"/>
    </row>
    <row r="43" spans="3:15" ht="15" thickBot="1" x14ac:dyDescent="0.35">
      <c r="C43" s="14" t="s">
        <v>20</v>
      </c>
      <c r="D43" s="8">
        <v>11</v>
      </c>
      <c r="E43" s="14" t="s">
        <v>31</v>
      </c>
      <c r="K43" s="25"/>
      <c r="L43" s="25"/>
      <c r="M43" s="25"/>
      <c r="N43" s="25"/>
      <c r="O43" s="25"/>
    </row>
    <row r="44" spans="3:15" ht="15" thickBot="1" x14ac:dyDescent="0.35">
      <c r="C44" s="14" t="s">
        <v>36</v>
      </c>
      <c r="D44" s="8">
        <v>10</v>
      </c>
      <c r="E44" s="14" t="s">
        <v>31</v>
      </c>
      <c r="K44" s="25"/>
      <c r="L44" s="25"/>
      <c r="M44" s="25"/>
      <c r="N44" s="25"/>
      <c r="O44" s="25"/>
    </row>
    <row r="45" spans="3:15" ht="15" thickBot="1" x14ac:dyDescent="0.35">
      <c r="C45" s="14" t="s">
        <v>37</v>
      </c>
      <c r="D45" s="8">
        <v>10</v>
      </c>
      <c r="E45" s="14" t="s">
        <v>31</v>
      </c>
      <c r="K45" s="25"/>
      <c r="L45" s="25"/>
      <c r="M45" s="25"/>
      <c r="N45" s="25"/>
      <c r="O45" s="25"/>
    </row>
    <row r="46" spans="3:15" x14ac:dyDescent="0.3">
      <c r="K46" s="25"/>
      <c r="L46" s="25"/>
      <c r="M46" s="25"/>
      <c r="N46" s="25"/>
      <c r="O46" s="25"/>
    </row>
    <row r="47" spans="3:15" ht="16.2" thickBot="1" x14ac:dyDescent="0.35">
      <c r="C47" s="11" t="s">
        <v>39</v>
      </c>
      <c r="D47" s="11"/>
      <c r="E47" s="11"/>
      <c r="F47" s="11"/>
      <c r="K47" s="25"/>
      <c r="L47" s="25"/>
      <c r="M47" s="25"/>
      <c r="N47" s="25"/>
      <c r="O47" s="25"/>
    </row>
    <row r="48" spans="3:15" ht="15" thickBot="1" x14ac:dyDescent="0.35">
      <c r="D48" s="22" t="s">
        <v>40</v>
      </c>
      <c r="E48" s="22" t="s">
        <v>15</v>
      </c>
      <c r="K48" s="25"/>
      <c r="L48" s="25"/>
      <c r="M48" s="25"/>
      <c r="N48" s="25"/>
      <c r="O48" s="25"/>
    </row>
    <row r="49" spans="3:15" ht="30.6" thickBot="1" x14ac:dyDescent="0.35">
      <c r="C49" s="22" t="str">
        <f>Aux!B2</f>
        <v>Equipo 1</v>
      </c>
      <c r="D49" s="26">
        <v>107</v>
      </c>
      <c r="E49" s="22">
        <f>IF(D49&gt;=$H$50,$I$50,
 IF(D49&gt;=$H$51,$I$51,
 IF(D49&gt;=$H$52,$I$52,
 IF(D49&gt;=$H$53,$I$53,
 IF(D49&gt;=$H$54,$I$54,
 IF(D49&gt;=$H$55,$I$55,
 IF(D49&gt;=$H$56,$I$56,
 IF(D49&gt;=$H$57,$I$57,
 IF(D49&gt;=$H$58,$I$58,0)))))))))</f>
        <v>1</v>
      </c>
      <c r="H49" s="16" t="s">
        <v>22</v>
      </c>
      <c r="I49" s="13" t="s">
        <v>15</v>
      </c>
      <c r="J49" s="22" t="s">
        <v>25</v>
      </c>
      <c r="K49" s="13" t="s">
        <v>15</v>
      </c>
      <c r="O49" s="25"/>
    </row>
    <row r="50" spans="3:15" ht="15" thickBot="1" x14ac:dyDescent="0.35">
      <c r="C50" s="22" t="str">
        <f>Aux!B3</f>
        <v>Equipo 2</v>
      </c>
      <c r="D50" s="26">
        <v>200</v>
      </c>
      <c r="E50" s="22">
        <f>IF(D50&gt;=$H$50,$I$50,
 IF(D50&gt;=$H$51,$I$51,
 IF(D50&gt;=$H$52,$I$52,
 IF(D50&gt;=$H$53,$I$53,
 IF(D50&gt;=$H$54,$I$54,
 IF(D50&gt;=$H$55,$I$55,
 IF(D50&gt;=$H$56,$I$56,
 IF(D50&gt;=$H$57,$I$57,
 IF(D50&gt;=$H$58,$I$58,0)))))))))</f>
        <v>3</v>
      </c>
      <c r="H50" s="17">
        <v>500</v>
      </c>
      <c r="I50" s="8">
        <v>15</v>
      </c>
      <c r="J50" s="17">
        <v>30</v>
      </c>
      <c r="K50" s="8">
        <v>15</v>
      </c>
      <c r="O50" s="25"/>
    </row>
    <row r="51" spans="3:15" ht="15" thickBot="1" x14ac:dyDescent="0.35">
      <c r="C51" s="22" t="str">
        <f>Aux!B4</f>
        <v>Equipo 3</v>
      </c>
      <c r="D51" s="26">
        <v>500</v>
      </c>
      <c r="E51" s="22">
        <f>IF(D51&gt;=$H$50,$I$50,
 IF(D51&gt;=$H$51,$I$51,
 IF(D51&gt;=$H$52,$I$52,
 IF(D51&gt;=$H$53,$I$53,
 IF(D51&gt;=$H$54,$I$54,
 IF(D51&gt;=$H$55,$I$55,
 IF(D51&gt;=$H$56,$I$56,
 IF(D51&gt;=$H$57,$I$57,
 IF(D51&gt;=$H$58,$I$58,0)))))))))</f>
        <v>15</v>
      </c>
      <c r="H51" s="17">
        <v>450</v>
      </c>
      <c r="I51" s="8">
        <v>12</v>
      </c>
      <c r="J51" s="17">
        <v>35</v>
      </c>
      <c r="K51" s="8">
        <v>12</v>
      </c>
      <c r="O51" s="25"/>
    </row>
    <row r="52" spans="3:15" ht="15" thickBot="1" x14ac:dyDescent="0.35">
      <c r="C52" s="22" t="str">
        <f>Aux!B5</f>
        <v>Equipo 4</v>
      </c>
      <c r="D52" s="26">
        <v>500</v>
      </c>
      <c r="E52" s="22">
        <f>IF(D52&gt;=$H$50,$I$50,
 IF(D52&gt;=$H$51,$I$51,
 IF(D52&gt;=$H$52,$I$52,
 IF(D52&gt;=$H$53,$I$53,
 IF(D52&gt;=$H$54,$I$54,
 IF(D52&gt;=$H$55,$I$55,
 IF(D52&gt;=$H$56,$I$56,
 IF(D52&gt;=$H$57,$I$57,
 IF(D52&gt;=$H$58,$I$58,0)))))))))</f>
        <v>15</v>
      </c>
      <c r="H52" s="17">
        <v>400</v>
      </c>
      <c r="I52" s="8">
        <v>10</v>
      </c>
      <c r="J52" s="17">
        <v>40</v>
      </c>
      <c r="K52" s="8">
        <v>10</v>
      </c>
      <c r="O52" s="25"/>
    </row>
    <row r="53" spans="3:15" ht="15" thickBot="1" x14ac:dyDescent="0.35">
      <c r="C53" s="22" t="str">
        <f>Aux!B6</f>
        <v>Equipo 5</v>
      </c>
      <c r="D53" s="26">
        <v>350</v>
      </c>
      <c r="E53" s="22">
        <f>IF(D53&gt;=$H$50,$I$50,
 IF(D53&gt;=$H$51,$I$51,
 IF(D53&gt;=$H$52,$I$52,
 IF(D53&gt;=$H$53,$I$53,
 IF(D53&gt;=$H$54,$I$54,
 IF(D53&gt;=$H$55,$I$55,
 IF(D53&gt;=$H$56,$I$56,
 IF(D53&gt;=$H$57,$I$57,
 IF(D53&gt;=$H$58,$I$58,0)))))))))</f>
        <v>8</v>
      </c>
      <c r="H53" s="17">
        <v>350</v>
      </c>
      <c r="I53" s="8">
        <v>8</v>
      </c>
      <c r="J53" s="17">
        <v>45</v>
      </c>
      <c r="K53" s="8">
        <v>8</v>
      </c>
      <c r="O53" s="25"/>
    </row>
    <row r="54" spans="3:15" ht="15" thickBot="1" x14ac:dyDescent="0.35">
      <c r="C54" s="22" t="str">
        <f>Aux!B7</f>
        <v>Equipo 6</v>
      </c>
      <c r="D54" s="26">
        <v>123</v>
      </c>
      <c r="E54" s="22">
        <f>IF(D54&gt;=$H$50,$I$50,
 IF(D54&gt;=$H$51,$I$51,
 IF(D54&gt;=$H$52,$I$52,
 IF(D54&gt;=$H$53,$I$53,
 IF(D54&gt;=$H$54,$I$54,
 IF(D54&gt;=$H$55,$I$55,
 IF(D54&gt;=$H$56,$I$56,
 IF(D54&gt;=$H$57,$I$57,
 IF(D54&gt;=$H$58,$I$58,0)))))))))</f>
        <v>1</v>
      </c>
      <c r="H54" s="17">
        <v>300</v>
      </c>
      <c r="I54" s="8">
        <v>6</v>
      </c>
      <c r="J54" s="17">
        <v>50</v>
      </c>
      <c r="K54" s="8">
        <v>6</v>
      </c>
      <c r="O54" s="25"/>
    </row>
    <row r="55" spans="3:15" ht="15" thickBot="1" x14ac:dyDescent="0.35">
      <c r="C55" s="22" t="str">
        <f>Aux!B8</f>
        <v>Equipo 7</v>
      </c>
      <c r="D55" s="26">
        <v>80</v>
      </c>
      <c r="E55" s="22">
        <f>IF(D55&gt;=$H$50,$I$50,
 IF(D55&gt;=$H$51,$I$51,
 IF(D55&gt;=$H$52,$I$52,
 IF(D55&gt;=$H$53,$I$53,
 IF(D55&gt;=$H$54,$I$54,
 IF(D55&gt;=$H$55,$I$55,
 IF(D55&gt;=$H$56,$I$56,
 IF(D55&gt;=$H$57,$I$57,
 IF(D55&gt;=$H$58,$I$58,0)))))))))</f>
        <v>0</v>
      </c>
      <c r="H55" s="17">
        <v>250</v>
      </c>
      <c r="I55" s="8">
        <v>4</v>
      </c>
      <c r="J55" s="17">
        <v>55</v>
      </c>
      <c r="K55" s="8">
        <v>4</v>
      </c>
      <c r="O55" s="25"/>
    </row>
    <row r="56" spans="3:15" ht="15" thickBot="1" x14ac:dyDescent="0.35">
      <c r="H56" s="17">
        <v>200</v>
      </c>
      <c r="I56" s="8">
        <v>3</v>
      </c>
      <c r="J56" s="17">
        <v>60</v>
      </c>
      <c r="K56" s="8">
        <v>3</v>
      </c>
    </row>
    <row r="57" spans="3:15" ht="16.2" thickBot="1" x14ac:dyDescent="0.35">
      <c r="C57" s="11" t="s">
        <v>41</v>
      </c>
      <c r="D57" s="11"/>
      <c r="E57" s="11"/>
      <c r="F57" s="11"/>
      <c r="H57" s="17">
        <v>150</v>
      </c>
      <c r="I57" s="8">
        <v>2</v>
      </c>
      <c r="J57" s="17">
        <v>65</v>
      </c>
      <c r="K57" s="8">
        <v>2</v>
      </c>
    </row>
    <row r="58" spans="3:15" ht="16.2" thickBot="1" x14ac:dyDescent="0.35">
      <c r="D58" s="22" t="s">
        <v>42</v>
      </c>
      <c r="E58" s="22" t="s">
        <v>28</v>
      </c>
      <c r="H58" s="17">
        <v>100</v>
      </c>
      <c r="I58" s="8">
        <v>1</v>
      </c>
      <c r="J58" s="17">
        <v>75</v>
      </c>
      <c r="K58" s="8">
        <v>1</v>
      </c>
    </row>
    <row r="59" spans="3:15" ht="15" thickBot="1" x14ac:dyDescent="0.35">
      <c r="C59" s="22" t="str">
        <f>Aux!B2</f>
        <v>Equipo 1</v>
      </c>
      <c r="D59" s="26">
        <v>7.15</v>
      </c>
      <c r="E59" s="27">
        <f>IF(D49&gt;=500,D59,1.25*D59*500/D49)</f>
        <v>41.764018691588788</v>
      </c>
      <c r="F59" s="22">
        <f>IF(D59&lt;$J$50,$K$50,
 IF(D59&lt;$J$51,$K$51,
 IF(D59&lt;$J$52,$K$52,
 IF(D59&lt;$J$53,$K$53,
 IF(D59&lt;$J$54,$K$54,
 IF(D59&lt;$J$55,$K$55,
 IF(D59&lt;$J$56,$K$56,
 IF(D59&lt;$J$57,$K$57,
 IF(D59&lt;$J$58,$K$58,0)))))))))</f>
        <v>15</v>
      </c>
    </row>
    <row r="60" spans="3:15" ht="15" thickBot="1" x14ac:dyDescent="0.35">
      <c r="C60" s="22" t="str">
        <f>Aux!B3</f>
        <v>Equipo 2</v>
      </c>
      <c r="D60" s="26">
        <v>66</v>
      </c>
      <c r="E60" s="27">
        <f t="shared" ref="E60:E65" si="0">IF(D50&gt;=500,D60,1.25*D60*500/D50)</f>
        <v>206.25</v>
      </c>
      <c r="F60" s="22">
        <f>IF(D60&lt;$J$50,$K$50,
 IF(D60&lt;$J$51,$K$51,
 IF(D60&lt;$J$52,$K$52,
 IF(D60&lt;$J$53,$K$53,
 IF(D60&lt;$J$54,$K$54,
 IF(D60&lt;$J$55,$K$55,
 IF(D60&lt;$J$56,$K$56,
 IF(D60&lt;$J$57,$K$57,
 IF(D60&lt;$J$58,$K$58,0)))))))))</f>
        <v>1</v>
      </c>
    </row>
    <row r="61" spans="3:15" ht="15" thickBot="1" x14ac:dyDescent="0.35">
      <c r="C61" s="22" t="str">
        <f>Aux!B4</f>
        <v>Equipo 3</v>
      </c>
      <c r="D61" s="26">
        <v>66</v>
      </c>
      <c r="E61" s="27">
        <f t="shared" si="0"/>
        <v>66</v>
      </c>
      <c r="F61" s="22">
        <f>IF(D61&lt;$J$50,$K$50,
 IF(D61&lt;$J$51,$K$51,
 IF(D61&lt;$J$52,$K$52,
 IF(D61&lt;$J$53,$K$53,
 IF(D61&lt;$J$54,$K$54,
 IF(D61&lt;$J$55,$K$55,
 IF(D61&lt;$J$56,$K$56,
 IF(D61&lt;$J$57,$K$57,
 IF(D61&lt;$J$58,$K$58,0)))))))))</f>
        <v>1</v>
      </c>
    </row>
    <row r="62" spans="3:15" ht="15" thickBot="1" x14ac:dyDescent="0.35">
      <c r="C62" s="22" t="str">
        <f>Aux!B5</f>
        <v>Equipo 4</v>
      </c>
      <c r="D62" s="26">
        <v>66</v>
      </c>
      <c r="E62" s="27">
        <f t="shared" si="0"/>
        <v>66</v>
      </c>
      <c r="F62" s="31">
        <f>IF(D62&lt;$J$50,$K$50,
 IF(D62&lt;$J$51,$K$51,
 IF(D62&lt;$J$52,$K$52,
 IF(D62&lt;$J$53,$K$53,
 IF(D62&lt;$J$54,$K$54,
 IF(D62&lt;$J$55,$K$55,
 IF(D62&lt;$J$56,$K$56,
 IF(D62&lt;$J$57,$K$57,
 IF(D62&lt;$J$58,$K$58,0)))))))))</f>
        <v>1</v>
      </c>
    </row>
    <row r="63" spans="3:15" ht="15" thickBot="1" x14ac:dyDescent="0.35">
      <c r="C63" s="22" t="str">
        <f>Aux!B6</f>
        <v>Equipo 5</v>
      </c>
      <c r="D63" s="26">
        <v>66</v>
      </c>
      <c r="E63" s="27">
        <f t="shared" si="0"/>
        <v>117.85714285714286</v>
      </c>
      <c r="F63" s="22">
        <f>IF(D63&lt;$J$50,$K$50,
 IF(D63&lt;$J$51,$K$51,
 IF(D63&lt;$J$52,$K$52,
 IF(D63&lt;$J$53,$K$53,
 IF(D63&lt;$J$54,$K$54,
 IF(D63&lt;$J$55,$K$55,
 IF(D63&lt;$J$56,$K$56,
 IF(D63&lt;$J$57,$K$57,
 IF(D63&lt;$J$58,$K$58,0)))))))))</f>
        <v>1</v>
      </c>
    </row>
    <row r="64" spans="3:15" ht="15" thickBot="1" x14ac:dyDescent="0.35">
      <c r="C64" s="22" t="str">
        <f>Aux!B7</f>
        <v>Equipo 6</v>
      </c>
      <c r="D64" s="26">
        <v>66</v>
      </c>
      <c r="E64" s="27">
        <f t="shared" si="0"/>
        <v>335.36585365853659</v>
      </c>
      <c r="F64" s="22">
        <f>IF(D64&lt;$J$50,$K$50,
 IF(D64&lt;$J$51,$K$51,
 IF(D64&lt;$J$52,$K$52,
 IF(D64&lt;$J$53,$K$53,
 IF(D64&lt;$J$54,$K$54,
 IF(D64&lt;$J$55,$K$55,
 IF(D64&lt;$J$56,$K$56,
 IF(D64&lt;$J$57,$K$57,
 IF(D64&lt;$J$58,$K$58,0)))))))))</f>
        <v>1</v>
      </c>
      <c r="G64" s="28"/>
    </row>
    <row r="65" spans="3:6" ht="15" thickBot="1" x14ac:dyDescent="0.35">
      <c r="C65" s="22" t="str">
        <f>Aux!B8</f>
        <v>Equipo 7</v>
      </c>
      <c r="D65" s="26">
        <v>78</v>
      </c>
      <c r="E65" s="27">
        <f t="shared" si="0"/>
        <v>609.375</v>
      </c>
      <c r="F65" s="22">
        <f>IF(D65&lt;$J$50,$K$50,
 IF(D65&lt;$J$51,$K$51,
 IF(D65&lt;$J$52,$K$52,
 IF(D65&lt;$J$53,$K$53,
 IF(D65&lt;$J$54,$K$54,
 IF(D65&lt;$J$55,$K$55,
 IF(D65&lt;$J$56,$K$56,
 IF(D65&lt;$J$57,$K$57,
 IF(D65&lt;$J$58,$K$58,0)))))))))</f>
        <v>0</v>
      </c>
    </row>
    <row r="72" spans="3:6" x14ac:dyDescent="0.3">
      <c r="F72" s="25"/>
    </row>
  </sheetData>
  <mergeCells count="13">
    <mergeCell ref="G2:H3"/>
    <mergeCell ref="J2:K3"/>
    <mergeCell ref="M2:N3"/>
    <mergeCell ref="C57:F57"/>
    <mergeCell ref="C23:F23"/>
    <mergeCell ref="C47:F47"/>
    <mergeCell ref="C34:F34"/>
    <mergeCell ref="C35:G37"/>
    <mergeCell ref="H26:L26"/>
    <mergeCell ref="E5:E6"/>
    <mergeCell ref="E8:E9"/>
    <mergeCell ref="C12:F12"/>
    <mergeCell ref="A2:E2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ACA58A8-9AEC-4B76-9BEB-0887AFCCBA90}">
          <x14:formula1>
            <xm:f>Aux!$B$2:$B$8</xm:f>
          </x14:formula1>
          <xm:sqref>E15:E21 E25:E37 E39:E45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87D92-3BFC-4133-ADDB-0367654A39EF}">
  <dimension ref="B2:B8"/>
  <sheetViews>
    <sheetView workbookViewId="0">
      <selection activeCell="B3" sqref="B3"/>
    </sheetView>
  </sheetViews>
  <sheetFormatPr baseColWidth="10" defaultRowHeight="14.4" x14ac:dyDescent="0.3"/>
  <sheetData>
    <row r="2" spans="2:2" x14ac:dyDescent="0.3">
      <c r="B2" t="s">
        <v>29</v>
      </c>
    </row>
    <row r="3" spans="2:2" x14ac:dyDescent="0.3">
      <c r="B3" t="s">
        <v>30</v>
      </c>
    </row>
    <row r="4" spans="2:2" x14ac:dyDescent="0.3">
      <c r="B4" t="s">
        <v>31</v>
      </c>
    </row>
    <row r="5" spans="2:2" x14ac:dyDescent="0.3">
      <c r="B5" t="s">
        <v>32</v>
      </c>
    </row>
    <row r="6" spans="2:2" x14ac:dyDescent="0.3">
      <c r="B6" t="s">
        <v>33</v>
      </c>
    </row>
    <row r="7" spans="2:2" x14ac:dyDescent="0.3">
      <c r="B7" t="s">
        <v>34</v>
      </c>
    </row>
    <row r="8" spans="2:2" x14ac:dyDescent="0.3">
      <c r="B8" t="s">
        <v>35</v>
      </c>
    </row>
  </sheetData>
  <phoneticPr fontId="1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57DA02788835542894AA1E8EDA9DAB5" ma:contentTypeVersion="8" ma:contentTypeDescription="Crear nuevo documento." ma:contentTypeScope="" ma:versionID="8ff4b64a8ed8a6ecbf4756708b237da8">
  <xsd:schema xmlns:xsd="http://www.w3.org/2001/XMLSchema" xmlns:xs="http://www.w3.org/2001/XMLSchema" xmlns:p="http://schemas.microsoft.com/office/2006/metadata/properties" xmlns:ns3="cb2dab72-1482-4973-9d4c-d4cf97124370" targetNamespace="http://schemas.microsoft.com/office/2006/metadata/properties" ma:root="true" ma:fieldsID="b15c459ed86d67d06b74f6e11f67b727" ns3:_="">
    <xsd:import namespace="cb2dab72-1482-4973-9d4c-d4cf9712437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2dab72-1482-4973-9d4c-d4cf9712437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45EFFB7-A3D2-4C01-A040-D94C6AB39E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2dab72-1482-4973-9d4c-d4cf971243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8783263-81A6-4287-9410-76D24581E6B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AF78A26-78D1-444E-A9D6-FD0C045D359A}">
  <ds:schemaRefs>
    <ds:schemaRef ds:uri="http://purl.org/dc/elements/1.1/"/>
    <ds:schemaRef ds:uri="http://purl.org/dc/terms/"/>
    <ds:schemaRef ds:uri="cb2dab72-1482-4973-9d4c-d4cf97124370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Aux</vt:lpstr>
      <vt:lpstr>Hoja1!_Toc168593517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PARRA SALCEDO</dc:creator>
  <cp:lastModifiedBy>MARIA PARRA SALCEDO</cp:lastModifiedBy>
  <dcterms:created xsi:type="dcterms:W3CDTF">2026-02-10T14:43:39Z</dcterms:created>
  <dcterms:modified xsi:type="dcterms:W3CDTF">2026-02-11T13:39:37Z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0x010100157DA02788835542894AA1E8EDA9DAB5</vt:lpwstr>
  </property>
</Properties>
</file>